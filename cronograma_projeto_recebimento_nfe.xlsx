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n3combr-my.sharepoint.com/personal/alexandre_nordin_rn3_com_br/Documents/RN3/Projetos/Latex/Recebimeno NFe/"/>
    </mc:Choice>
  </mc:AlternateContent>
  <xr:revisionPtr revIDLastSave="1" documentId="11_440B8BA390704CCEEB3B98154B5DCE3A774EA8A6" xr6:coauthVersionLast="47" xr6:coauthVersionMax="47" xr10:uidLastSave="{1CE8EA6C-F7D8-4316-B294-8C8116872EEB}"/>
  <bookViews>
    <workbookView xWindow="-120" yWindow="-120" windowWidth="29040" windowHeight="15720" xr2:uid="{00000000-000D-0000-FFFF-FFFF00000000}"/>
  </bookViews>
  <sheets>
    <sheet name="Cronograma" sheetId="1" r:id="rId1"/>
  </sheets>
  <calcPr calcId="191029"/>
</workbook>
</file>

<file path=xl/calcChain.xml><?xml version="1.0" encoding="utf-8"?>
<calcChain xmlns="http://schemas.openxmlformats.org/spreadsheetml/2006/main">
  <c r="D12" i="1" l="1"/>
  <c r="E2" i="1"/>
  <c r="D3" i="1" s="1"/>
  <c r="E3" i="1" s="1"/>
  <c r="D4" i="1" s="1"/>
  <c r="E4" i="1" s="1"/>
  <c r="D5" i="1" s="1"/>
  <c r="E5" i="1" s="1"/>
  <c r="D6" i="1" s="1"/>
  <c r="E6" i="1" s="1"/>
  <c r="D7" i="1" s="1"/>
  <c r="E7" i="1" s="1"/>
  <c r="D8" i="1" l="1"/>
  <c r="E8" i="1" s="1"/>
  <c r="D9" i="1" s="1"/>
  <c r="E9" i="1" l="1"/>
  <c r="D10" i="1" s="1"/>
  <c r="E10" i="1" l="1"/>
  <c r="D11" i="1" s="1"/>
  <c r="E11" i="1" l="1"/>
  <c r="E12" i="1" l="1"/>
  <c r="D13" i="1" s="1"/>
  <c r="E13" i="1" l="1"/>
  <c r="D14" i="1" s="1"/>
  <c r="E14" i="1" l="1"/>
  <c r="D15" i="1" s="1"/>
  <c r="E15" i="1" l="1"/>
  <c r="D16" i="1" l="1"/>
  <c r="E16" i="1" s="1"/>
  <c r="D17" i="1" s="1"/>
  <c r="E17" i="1" s="1"/>
  <c r="E18" i="1" l="1"/>
  <c r="D18" i="1"/>
  <c r="D19" i="1" l="1"/>
  <c r="E19" i="1" s="1"/>
</calcChain>
</file>

<file path=xl/sharedStrings.xml><?xml version="1.0" encoding="utf-8"?>
<sst xmlns="http://schemas.openxmlformats.org/spreadsheetml/2006/main" count="60" uniqueCount="43">
  <si>
    <t>ID</t>
  </si>
  <si>
    <t>Tarefa</t>
  </si>
  <si>
    <t>Recurso</t>
  </si>
  <si>
    <t>Data Início</t>
  </si>
  <si>
    <t>Data Fim</t>
  </si>
  <si>
    <t>Duração (dias úteis)</t>
  </si>
  <si>
    <t>Dependência</t>
  </si>
  <si>
    <t>Kickoff do Projeto</t>
  </si>
  <si>
    <t>Consultor Técnico/Funcional</t>
  </si>
  <si>
    <t>Preparação do Ambiente JDE</t>
  </si>
  <si>
    <t>Analista Infraestrutura</t>
  </si>
  <si>
    <t>1</t>
  </si>
  <si>
    <t>Levantamento Processo Atual</t>
  </si>
  <si>
    <t>Disponibilização de XMLs para Teste</t>
  </si>
  <si>
    <t>Usuário Chave</t>
  </si>
  <si>
    <t>Desenvolvimento Rotina Leitura XML</t>
  </si>
  <si>
    <t>3</t>
  </si>
  <si>
    <t>Configuração Diretório Processamento</t>
  </si>
  <si>
    <t>2</t>
  </si>
  <si>
    <t>Desenvolvimento Geração CSV</t>
  </si>
  <si>
    <t>5</t>
  </si>
  <si>
    <t>Desenvolvimento UBE Carga Tabelas Z</t>
  </si>
  <si>
    <t>8</t>
  </si>
  <si>
    <t>Configuração Scheduler Batch</t>
  </si>
  <si>
    <t>9</t>
  </si>
  <si>
    <t>11</t>
  </si>
  <si>
    <t>Validação Fluxo Recebimento</t>
  </si>
  <si>
    <t>13</t>
  </si>
  <si>
    <t>Desenvolvimento Telas Comparativas XML x JDE</t>
  </si>
  <si>
    <t>14</t>
  </si>
  <si>
    <t>16</t>
  </si>
  <si>
    <t>Testes Unitários</t>
  </si>
  <si>
    <t>17</t>
  </si>
  <si>
    <t>Testes Operacionais</t>
  </si>
  <si>
    <t>19</t>
  </si>
  <si>
    <t>20</t>
  </si>
  <si>
    <t>Publicação Produção</t>
  </si>
  <si>
    <t>21</t>
  </si>
  <si>
    <t>Homologação Final</t>
  </si>
  <si>
    <t>22</t>
  </si>
  <si>
    <t>Desenvolvimento Relatório de Integridade</t>
  </si>
  <si>
    <t>Validação Relatórios Integridade e Telas Comparativas</t>
  </si>
  <si>
    <t>Ajustes Finais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</si>
</sst>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6EE267-CBAB-47C0-B36D-A6850BEF8003}" name="Tabela1" displayName="Tabela1" ref="A1:G19" totalsRowShown="0">
  <autoFilter ref="A1:G19" xr:uid="{076EE267-CBAB-47C0-B36D-A6850BEF8003}"/>
  <tableColumns count="7">
    <tableColumn id="1" xr3:uid="{8DDBD480-3424-455B-ADAD-A45AC15DB950}" name="ID"/>
    <tableColumn id="2" xr3:uid="{3AC8B980-25A0-44B1-872E-1080ECDE3359}" name="Tarefa"/>
    <tableColumn id="3" xr3:uid="{DCDE2AFC-6841-4344-93F7-B3AF56D41106}" name="Recurso"/>
    <tableColumn id="4" xr3:uid="{7DEA4207-3E9F-48EF-976C-06B713295985}" name="Data Início" dataDxfId="0"/>
    <tableColumn id="5" xr3:uid="{3C14CCFD-07AA-4EA2-8C95-52CC930B59F4}" name="Data Fim" dataDxfId="1">
      <calculatedColumnFormula>WORKDAY(Tabela1[[#This Row],[Data Início]],Tabela1[[#This Row],[Duração (dias úteis)]])</calculatedColumnFormula>
    </tableColumn>
    <tableColumn id="6" xr3:uid="{9FC5CD34-12F7-4AB9-BD96-918E3B2CEB54}" name="Duração (dias úteis)"/>
    <tableColumn id="7" xr3:uid="{7289D494-D64D-4C0F-B2F3-41A850538208}" name="Dependênc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F27" sqref="F27"/>
    </sheetView>
  </sheetViews>
  <sheetFormatPr defaultRowHeight="15" x14ac:dyDescent="0.25"/>
  <cols>
    <col min="1" max="1" width="5" customWidth="1"/>
    <col min="2" max="2" width="50" bestFit="1" customWidth="1"/>
    <col min="3" max="3" width="36.85546875" customWidth="1"/>
    <col min="4" max="4" width="17.85546875" style="1" customWidth="1"/>
    <col min="5" max="5" width="18.7109375" style="1" customWidth="1"/>
    <col min="6" max="6" width="20.570312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s="1">
        <v>46097</v>
      </c>
      <c r="E2" s="1">
        <f>WORKDAY(Tabela1[[#This Row],[Data Início]],Tabela1[[#This Row],[Duração (dias úteis)]])</f>
        <v>46097</v>
      </c>
      <c r="F2">
        <v>0</v>
      </c>
    </row>
    <row r="3" spans="1:7" x14ac:dyDescent="0.25">
      <c r="A3">
        <v>2</v>
      </c>
      <c r="B3" t="s">
        <v>9</v>
      </c>
      <c r="C3" t="s">
        <v>10</v>
      </c>
      <c r="D3" s="1">
        <f>WORKDAY(E2,1)</f>
        <v>46098</v>
      </c>
      <c r="E3" s="1">
        <f>WORKDAY(Tabela1[[#This Row],[Data Início]],Tabela1[[#This Row],[Duração (dias úteis)]])</f>
        <v>46098</v>
      </c>
      <c r="F3">
        <v>0</v>
      </c>
      <c r="G3" t="s">
        <v>11</v>
      </c>
    </row>
    <row r="4" spans="1:7" x14ac:dyDescent="0.25">
      <c r="A4">
        <v>3</v>
      </c>
      <c r="B4" t="s">
        <v>12</v>
      </c>
      <c r="C4" t="s">
        <v>8</v>
      </c>
      <c r="D4" s="1">
        <f t="shared" ref="D4:D19" si="0">WORKDAY(E3,1)</f>
        <v>46099</v>
      </c>
      <c r="E4" s="1">
        <f>WORKDAY(Tabela1[[#This Row],[Data Início]],Tabela1[[#This Row],[Duração (dias úteis)]])</f>
        <v>46099</v>
      </c>
      <c r="F4">
        <v>0</v>
      </c>
      <c r="G4" t="s">
        <v>11</v>
      </c>
    </row>
    <row r="5" spans="1:7" x14ac:dyDescent="0.25">
      <c r="A5">
        <v>4</v>
      </c>
      <c r="B5" t="s">
        <v>13</v>
      </c>
      <c r="C5" t="s">
        <v>14</v>
      </c>
      <c r="D5" s="1">
        <f t="shared" si="0"/>
        <v>46100</v>
      </c>
      <c r="E5" s="1">
        <f>WORKDAY(Tabela1[[#This Row],[Data Início]],Tabela1[[#This Row],[Duração (dias úteis)]])</f>
        <v>46100</v>
      </c>
      <c r="F5">
        <v>0</v>
      </c>
      <c r="G5" t="s">
        <v>11</v>
      </c>
    </row>
    <row r="6" spans="1:7" x14ac:dyDescent="0.25">
      <c r="A6">
        <v>5</v>
      </c>
      <c r="B6" t="s">
        <v>15</v>
      </c>
      <c r="C6" t="s">
        <v>8</v>
      </c>
      <c r="D6" s="1">
        <f t="shared" si="0"/>
        <v>46101</v>
      </c>
      <c r="E6" s="1">
        <f>WORKDAY(Tabela1[[#This Row],[Data Início]],Tabela1[[#This Row],[Duração (dias úteis)]])</f>
        <v>46122</v>
      </c>
      <c r="F6">
        <v>15</v>
      </c>
      <c r="G6" t="s">
        <v>16</v>
      </c>
    </row>
    <row r="7" spans="1:7" x14ac:dyDescent="0.25">
      <c r="A7">
        <v>6</v>
      </c>
      <c r="B7" t="s">
        <v>17</v>
      </c>
      <c r="C7" t="s">
        <v>10</v>
      </c>
      <c r="D7" s="1">
        <f t="shared" si="0"/>
        <v>46125</v>
      </c>
      <c r="E7" s="1">
        <f>WORKDAY(Tabela1[[#This Row],[Data Início]],Tabela1[[#This Row],[Duração (dias úteis)]])</f>
        <v>46125</v>
      </c>
      <c r="F7">
        <v>0</v>
      </c>
      <c r="G7" t="s">
        <v>18</v>
      </c>
    </row>
    <row r="8" spans="1:7" x14ac:dyDescent="0.25">
      <c r="A8">
        <v>8</v>
      </c>
      <c r="B8" t="s">
        <v>19</v>
      </c>
      <c r="C8" t="s">
        <v>8</v>
      </c>
      <c r="D8" s="1">
        <f t="shared" si="0"/>
        <v>46126</v>
      </c>
      <c r="E8" s="1">
        <f>WORKDAY(Tabela1[[#This Row],[Data Início]],Tabela1[[#This Row],[Duração (dias úteis)]])</f>
        <v>46133</v>
      </c>
      <c r="F8">
        <v>5</v>
      </c>
      <c r="G8" t="s">
        <v>20</v>
      </c>
    </row>
    <row r="9" spans="1:7" x14ac:dyDescent="0.25">
      <c r="A9">
        <v>11</v>
      </c>
      <c r="B9" t="s">
        <v>21</v>
      </c>
      <c r="C9" t="s">
        <v>8</v>
      </c>
      <c r="D9" s="1">
        <f t="shared" si="0"/>
        <v>46134</v>
      </c>
      <c r="E9" s="1">
        <f>WORKDAY(Tabela1[[#This Row],[Data Início]],Tabela1[[#This Row],[Duração (dias úteis)]])</f>
        <v>46136</v>
      </c>
      <c r="F9">
        <v>2</v>
      </c>
      <c r="G9" t="s">
        <v>22</v>
      </c>
    </row>
    <row r="10" spans="1:7" x14ac:dyDescent="0.25">
      <c r="A10">
        <v>12</v>
      </c>
      <c r="B10" t="s">
        <v>23</v>
      </c>
      <c r="C10" t="s">
        <v>10</v>
      </c>
      <c r="D10" s="1">
        <f t="shared" si="0"/>
        <v>46139</v>
      </c>
      <c r="E10" s="1">
        <f>WORKDAY(Tabela1[[#This Row],[Data Início]],Tabela1[[#This Row],[Duração (dias úteis)]])</f>
        <v>46140</v>
      </c>
      <c r="F10">
        <v>1</v>
      </c>
      <c r="G10" t="s">
        <v>24</v>
      </c>
    </row>
    <row r="11" spans="1:7" x14ac:dyDescent="0.25">
      <c r="A11">
        <v>14</v>
      </c>
      <c r="B11" t="s">
        <v>40</v>
      </c>
      <c r="C11" t="s">
        <v>8</v>
      </c>
      <c r="D11" s="1">
        <f t="shared" si="0"/>
        <v>46141</v>
      </c>
      <c r="E11" s="1">
        <f>WORKDAY(Tabela1[[#This Row],[Data Início]],Tabela1[[#This Row],[Duração (dias úteis)]])</f>
        <v>46146</v>
      </c>
      <c r="F11">
        <v>3</v>
      </c>
      <c r="G11" t="s">
        <v>25</v>
      </c>
    </row>
    <row r="12" spans="1:7" x14ac:dyDescent="0.25">
      <c r="A12">
        <v>16</v>
      </c>
      <c r="B12" t="s">
        <v>26</v>
      </c>
      <c r="C12" t="s">
        <v>14</v>
      </c>
      <c r="D12" s="1">
        <f t="shared" si="0"/>
        <v>46147</v>
      </c>
      <c r="E12" s="1">
        <f>WORKDAY(Tabela1[[#This Row],[Data Início]],Tabela1[[#This Row],[Duração (dias úteis)]])</f>
        <v>46149</v>
      </c>
      <c r="F12">
        <v>2</v>
      </c>
      <c r="G12" t="s">
        <v>27</v>
      </c>
    </row>
    <row r="13" spans="1:7" x14ac:dyDescent="0.25">
      <c r="A13">
        <v>17</v>
      </c>
      <c r="B13" t="s">
        <v>28</v>
      </c>
      <c r="C13" t="s">
        <v>8</v>
      </c>
      <c r="D13" s="1">
        <f t="shared" si="0"/>
        <v>46150</v>
      </c>
      <c r="E13" s="1">
        <f>WORKDAY(Tabela1[[#This Row],[Data Início]],Tabela1[[#This Row],[Duração (dias úteis)]])</f>
        <v>46157</v>
      </c>
      <c r="F13">
        <v>5</v>
      </c>
      <c r="G13" t="s">
        <v>29</v>
      </c>
    </row>
    <row r="14" spans="1:7" x14ac:dyDescent="0.25">
      <c r="A14">
        <v>19</v>
      </c>
      <c r="B14" t="s">
        <v>41</v>
      </c>
      <c r="C14" t="s">
        <v>14</v>
      </c>
      <c r="D14" s="1">
        <f t="shared" si="0"/>
        <v>46160</v>
      </c>
      <c r="E14" s="1">
        <f>WORKDAY(Tabela1[[#This Row],[Data Início]],Tabela1[[#This Row],[Duração (dias úteis)]])</f>
        <v>46162</v>
      </c>
      <c r="F14">
        <v>2</v>
      </c>
      <c r="G14" t="s">
        <v>30</v>
      </c>
    </row>
    <row r="15" spans="1:7" x14ac:dyDescent="0.25">
      <c r="A15">
        <v>20</v>
      </c>
      <c r="B15" t="s">
        <v>31</v>
      </c>
      <c r="C15" t="s">
        <v>8</v>
      </c>
      <c r="D15" s="1">
        <f t="shared" si="0"/>
        <v>46163</v>
      </c>
      <c r="E15" s="1">
        <f>WORKDAY(Tabela1[[#This Row],[Data Início]],Tabela1[[#This Row],[Duração (dias úteis)]])</f>
        <v>46168</v>
      </c>
      <c r="F15">
        <v>3</v>
      </c>
      <c r="G15" t="s">
        <v>32</v>
      </c>
    </row>
    <row r="16" spans="1:7" x14ac:dyDescent="0.25">
      <c r="A16">
        <v>22</v>
      </c>
      <c r="B16" t="s">
        <v>33</v>
      </c>
      <c r="C16" t="s">
        <v>14</v>
      </c>
      <c r="D16" s="1">
        <f t="shared" si="0"/>
        <v>46169</v>
      </c>
      <c r="E16" s="1">
        <f>WORKDAY(Tabela1[[#This Row],[Data Início]],Tabela1[[#This Row],[Duração (dias úteis)]])</f>
        <v>46174</v>
      </c>
      <c r="F16">
        <v>3</v>
      </c>
      <c r="G16" t="s">
        <v>34</v>
      </c>
    </row>
    <row r="17" spans="1:7" x14ac:dyDescent="0.25">
      <c r="A17">
        <v>23</v>
      </c>
      <c r="B17" t="s">
        <v>42</v>
      </c>
      <c r="C17" t="s">
        <v>8</v>
      </c>
      <c r="D17" s="1">
        <f t="shared" si="0"/>
        <v>46175</v>
      </c>
      <c r="E17" s="1">
        <f>WORKDAY(Tabela1[[#This Row],[Data Início]],Tabela1[[#This Row],[Duração (dias úteis)]])</f>
        <v>46177</v>
      </c>
      <c r="F17">
        <v>2</v>
      </c>
      <c r="G17" t="s">
        <v>35</v>
      </c>
    </row>
    <row r="18" spans="1:7" x14ac:dyDescent="0.25">
      <c r="A18">
        <v>24</v>
      </c>
      <c r="B18" t="s">
        <v>36</v>
      </c>
      <c r="C18" t="s">
        <v>10</v>
      </c>
      <c r="D18" s="1">
        <f t="shared" si="0"/>
        <v>46178</v>
      </c>
      <c r="E18" s="1">
        <f>WORKDAY(Tabela1[[#This Row],[Data Início]],Tabela1[[#This Row],[Duração (dias úteis)]])</f>
        <v>46181</v>
      </c>
      <c r="F18">
        <v>1</v>
      </c>
      <c r="G18" t="s">
        <v>37</v>
      </c>
    </row>
    <row r="19" spans="1:7" x14ac:dyDescent="0.25">
      <c r="A19">
        <v>25</v>
      </c>
      <c r="B19" t="s">
        <v>38</v>
      </c>
      <c r="C19" t="s">
        <v>14</v>
      </c>
      <c r="D19" s="1">
        <f t="shared" si="0"/>
        <v>46182</v>
      </c>
      <c r="E19" s="1">
        <f>WORKDAY(Tabela1[[#This Row],[Data Início]],Tabela1[[#This Row],[Duração (dias úteis)]])</f>
        <v>46183</v>
      </c>
      <c r="F19">
        <v>1</v>
      </c>
      <c r="G19" t="s">
        <v>39</v>
      </c>
    </row>
    <row r="23" spans="1:7" x14ac:dyDescent="0.25">
      <c r="G23" s="2"/>
    </row>
    <row r="25" spans="1:7" x14ac:dyDescent="0.25">
      <c r="G25" s="1"/>
    </row>
    <row r="26" spans="1:7" x14ac:dyDescent="0.25">
      <c r="G26" s="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Nordin</cp:lastModifiedBy>
  <dcterms:created xsi:type="dcterms:W3CDTF">2026-03-09T20:27:36Z</dcterms:created>
  <dcterms:modified xsi:type="dcterms:W3CDTF">2026-03-09T20:46:43Z</dcterms:modified>
</cp:coreProperties>
</file>